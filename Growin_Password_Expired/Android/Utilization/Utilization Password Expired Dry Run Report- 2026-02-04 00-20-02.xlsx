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ndhybaskoro/Documents/Bitbucket/growin_performancetest/Report/Growin_Password_Expired/Android/Utilization/"/>
    </mc:Choice>
  </mc:AlternateContent>
  <xr:revisionPtr revIDLastSave="0" documentId="8_{0B9050F4-B7D6-E940-87C8-6C6BB115370D}" xr6:coauthVersionLast="47" xr6:coauthVersionMax="47" xr10:uidLastSave="{00000000-0000-0000-0000-000000000000}"/>
  <bookViews>
    <workbookView xWindow="80" yWindow="620" windowWidth="28720" windowHeight="16380" xr2:uid="{FC865D56-A788-483A-81DB-F151218060C3}"/>
  </bookViews>
  <sheets>
    <sheet name="SUMMARY" sheetId="1" r:id="rId1"/>
    <sheet name="input data" sheetId="2" r:id="rId2"/>
  </sheets>
  <definedNames>
    <definedName name="_xlnm._FilterDatabase" localSheetId="0" hidden="1">SUMMARY!$A$1:$D$25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J12" i="1" s="1"/>
  <c r="K12" i="1" s="1"/>
  <c r="C17" i="1"/>
  <c r="H12" i="1" s="1"/>
  <c r="I12" i="1" s="1"/>
  <c r="D2" i="1"/>
  <c r="D3" i="1"/>
  <c r="D4" i="1"/>
  <c r="D5" i="1"/>
  <c r="J7" i="1" s="1"/>
  <c r="K7" i="1" s="1"/>
  <c r="D6" i="1"/>
  <c r="J8" i="1" s="1"/>
  <c r="K8" i="1" s="1"/>
  <c r="D7" i="1"/>
  <c r="D8" i="1"/>
  <c r="D9" i="1"/>
  <c r="D10" i="1"/>
  <c r="D11" i="1"/>
  <c r="D12" i="1"/>
  <c r="D13" i="1"/>
  <c r="D14" i="1"/>
  <c r="D15" i="1"/>
  <c r="D16" i="1"/>
  <c r="C13" i="1"/>
  <c r="C14" i="1"/>
  <c r="C15" i="1"/>
  <c r="C16" i="1"/>
  <c r="J3" i="1" l="1"/>
  <c r="I3" i="1" s="1"/>
  <c r="J6" i="1"/>
  <c r="K6" i="1" s="1"/>
  <c r="J10" i="1"/>
  <c r="K10" i="1" s="1"/>
  <c r="J9" i="1"/>
  <c r="K9" i="1" s="1"/>
  <c r="J11" i="1"/>
  <c r="K11" i="1" s="1"/>
  <c r="H9" i="1"/>
  <c r="I9" i="1" s="1"/>
  <c r="C12" i="1"/>
  <c r="C11" i="1"/>
  <c r="C10" i="1"/>
  <c r="C9" i="1"/>
  <c r="C8" i="1"/>
  <c r="C7" i="1"/>
  <c r="C6" i="1"/>
  <c r="H8" i="1" s="1"/>
  <c r="I8" i="1" s="1"/>
  <c r="C5" i="1"/>
  <c r="H7" i="1" s="1"/>
  <c r="I7" i="1" s="1"/>
  <c r="C4" i="1"/>
  <c r="C3" i="1"/>
  <c r="C2" i="1"/>
  <c r="H3" i="1" l="1"/>
  <c r="J13" i="1" s="1"/>
  <c r="J2" i="1"/>
  <c r="H11" i="1"/>
  <c r="I11" i="1" s="1"/>
  <c r="H10" i="1"/>
  <c r="I10" i="1" s="1"/>
  <c r="H6" i="1"/>
  <c r="I6" i="1" s="1"/>
  <c r="H2" i="1" l="1"/>
  <c r="I2" i="1"/>
  <c r="H13" i="1" l="1"/>
</calcChain>
</file>

<file path=xl/sharedStrings.xml><?xml version="1.0" encoding="utf-8"?>
<sst xmlns="http://schemas.openxmlformats.org/spreadsheetml/2006/main" count="72" uniqueCount="37">
  <si>
    <t>Component</t>
  </si>
  <si>
    <t>Hostname</t>
  </si>
  <si>
    <t>Memory (%)</t>
  </si>
  <si>
    <t>HIGHEST UTILIZATION</t>
  </si>
  <si>
    <t>CPU</t>
  </si>
  <si>
    <t>MEMORY</t>
  </si>
  <si>
    <t>Memory</t>
  </si>
  <si>
    <t xml:space="preserve">Redpanda Node </t>
  </si>
  <si>
    <t>OUCH Node  (future)</t>
  </si>
  <si>
    <t xml:space="preserve">ITCH Node </t>
  </si>
  <si>
    <t xml:space="preserve">Elasticsearch Node </t>
  </si>
  <si>
    <t xml:space="preserve">EDB PostgreSQL Node </t>
  </si>
  <si>
    <t xml:space="preserve">Redis Node </t>
  </si>
  <si>
    <t>HIGEST UTILIZATION</t>
  </si>
  <si>
    <t>TREMAPPLRPD017</t>
  </si>
  <si>
    <t>TREMAPPLRPD018</t>
  </si>
  <si>
    <t>TREMAPPLRPD019</t>
  </si>
  <si>
    <t>TREMAPPLOCH020</t>
  </si>
  <si>
    <t>TREMAPPLICH021</t>
  </si>
  <si>
    <t>TREMAPPLORA022</t>
  </si>
  <si>
    <t>TREMAPPLORA023</t>
  </si>
  <si>
    <t>TREMAPPLEDB027</t>
  </si>
  <si>
    <t>TREMAPPLEDB028</t>
  </si>
  <si>
    <t>TREMAPPLRDS029</t>
  </si>
  <si>
    <t>TREMAPPLRDS030</t>
  </si>
  <si>
    <t>TREMAPPLRDS031</t>
  </si>
  <si>
    <t>TREMAPPLCIC033</t>
  </si>
  <si>
    <t>TREMAPPLELC034</t>
  </si>
  <si>
    <t>TREMAPPLELC035</t>
  </si>
  <si>
    <t>TREMAPPLELC036</t>
  </si>
  <si>
    <t>TREMAPPLSIX047</t>
  </si>
  <si>
    <t>TREMAPPLSIX048</t>
  </si>
  <si>
    <t>TREMAPPLMON032</t>
  </si>
  <si>
    <t>ORACLEDB Node</t>
  </si>
  <si>
    <t>CPU  (%)</t>
  </si>
  <si>
    <t>growin-authservice-pt</t>
  </si>
  <si>
    <t>Growin Auth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</si>
</sst>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ill="1" applyBorder="1"/>
    <xf numFmtId="16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0" fillId="0" borderId="0" xfId="0" applyNumberFormat="1"/>
    <xf numFmtId="2" fontId="1" fillId="4" borderId="1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2" fontId="0" fillId="0" borderId="0" xfId="0" applyNumberFormat="1" applyAlignment="1">
      <alignment horizontal="center" vertical="center"/>
    </xf>
    <xf numFmtId="0" fontId="0" fillId="7" borderId="0" xfId="0" applyFill="1"/>
    <xf numFmtId="0" fontId="0" fillId="7" borderId="2" xfId="0" applyFill="1" applyBorder="1"/>
    <xf numFmtId="0" fontId="1" fillId="2" borderId="1" xfId="0" applyFont="1" applyFill="1" applyBorder="1" applyAlignment="1">
      <alignment horizontal="center"/>
    </xf>
    <xf numFmtId="2" fontId="0" fillId="6" borderId="3" xfId="0" applyNumberFormat="1" applyFill="1" applyBorder="1" applyAlignment="1">
      <alignment horizontal="center" vertical="center"/>
    </xf>
    <xf numFmtId="2" fontId="0" fillId="6" borderId="4" xfId="0" applyNumberForma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D4DC-DFE6-462F-892B-A871522B626B}">
  <sheetPr codeName="Sheet1"/>
  <dimension ref="A1:N45"/>
  <sheetViews>
    <sheetView tabSelected="1" zoomScaleNormal="100" workbookViewId="0">
      <selection activeCell="F17" sqref="F17"/>
    </sheetView>
  </sheetViews>
  <sheetFormatPr baseColWidth="10" defaultColWidth="8.83203125" defaultRowHeight="15" x14ac:dyDescent="0.2"/>
  <cols>
    <col min="1" max="1" width="24.83203125" bestFit="1" customWidth="1"/>
    <col min="2" max="2" width="20.83203125" customWidth="1"/>
    <col min="3" max="4" width="20.83203125" style="9" customWidth="1"/>
    <col min="7" max="8" width="24.83203125" bestFit="1" customWidth="1"/>
    <col min="9" max="11" width="20.83203125" customWidth="1"/>
  </cols>
  <sheetData>
    <row r="1" spans="1:13" x14ac:dyDescent="0.2">
      <c r="A1" s="5" t="s">
        <v>0</v>
      </c>
      <c r="B1" s="5" t="s">
        <v>1</v>
      </c>
      <c r="C1" s="10" t="s">
        <v>34</v>
      </c>
      <c r="D1" s="10" t="s">
        <v>2</v>
      </c>
      <c r="G1" s="16" t="s">
        <v>3</v>
      </c>
      <c r="H1" s="16"/>
      <c r="I1" s="16"/>
      <c r="J1" s="16"/>
    </row>
    <row r="2" spans="1:13" x14ac:dyDescent="0.2">
      <c r="A2" s="3" t="s">
        <v>7</v>
      </c>
      <c r="B2" s="3" t="s">
        <v>14</v>
      </c>
      <c r="C2" s="11">
        <f>VLOOKUP(B2,'input data'!$A$1:$C$108,2,FALSE)</f>
        <v>7.3</v>
      </c>
      <c r="D2" s="11">
        <f>VLOOKUP(B2,'input data'!$A$1:$C$108,3,FALSE)</f>
        <v>35.14</v>
      </c>
      <c r="G2" s="1" t="s">
        <v>4</v>
      </c>
      <c r="H2" s="1" t="str">
        <f>INDEX(A2:A17,MATCH(J2,C2:C17,0))</f>
        <v xml:space="preserve">Redis Node </v>
      </c>
      <c r="I2" s="1" t="str">
        <f>INDEX(B2:B17,MATCH(J2,C2:C17,0))</f>
        <v>TREMAPPLRDS029</v>
      </c>
      <c r="J2" s="2">
        <f>MAX(C2:C17)</f>
        <v>25.79</v>
      </c>
    </row>
    <row r="3" spans="1:13" x14ac:dyDescent="0.2">
      <c r="A3" s="3" t="s">
        <v>7</v>
      </c>
      <c r="B3" s="3" t="s">
        <v>15</v>
      </c>
      <c r="C3" s="11">
        <f>VLOOKUP(B3,'input data'!$A$1:$C$108,2,FALSE)</f>
        <v>6.15</v>
      </c>
      <c r="D3" s="11">
        <f>VLOOKUP(B3,'input data'!$A$1:$C$108,3,FALSE)</f>
        <v>35.06</v>
      </c>
      <c r="G3" s="3" t="s">
        <v>5</v>
      </c>
      <c r="H3" s="1" t="str">
        <f>INDEX(A2:A17,MATCH(J3,D2:D17,0))</f>
        <v xml:space="preserve">Elasticsearch Node </v>
      </c>
      <c r="I3" s="1" t="str">
        <f>INDEX(B2:B17,MATCH(J3,D2:D17,0))</f>
        <v>TREMAPPLELC035</v>
      </c>
      <c r="J3" s="4">
        <f>MAX(D2:D17)</f>
        <v>54.48</v>
      </c>
    </row>
    <row r="4" spans="1:13" x14ac:dyDescent="0.2">
      <c r="A4" s="3" t="s">
        <v>7</v>
      </c>
      <c r="B4" s="3" t="s">
        <v>16</v>
      </c>
      <c r="C4" s="11">
        <f>VLOOKUP(B4,'input data'!$A$1:$C$108,2,FALSE)</f>
        <v>7.03</v>
      </c>
      <c r="D4" s="11">
        <f>VLOOKUP(B4,'input data'!$A$1:$C$108,3,FALSE)</f>
        <v>34.9</v>
      </c>
    </row>
    <row r="5" spans="1:13" x14ac:dyDescent="0.2">
      <c r="A5" s="3" t="s">
        <v>8</v>
      </c>
      <c r="B5" s="3" t="s">
        <v>17</v>
      </c>
      <c r="C5" s="11">
        <f>VLOOKUP(B5,'input data'!$A$1:$C$108,2,FALSE)</f>
        <v>2.91</v>
      </c>
      <c r="D5" s="11">
        <f>VLOOKUP(B5,'input data'!$A$1:$C$108,3,FALSE)</f>
        <v>10.029999999999999</v>
      </c>
      <c r="G5" s="6" t="s">
        <v>0</v>
      </c>
      <c r="H5" s="6" t="s">
        <v>4</v>
      </c>
      <c r="I5" s="6" t="s">
        <v>1</v>
      </c>
      <c r="J5" s="6" t="s">
        <v>6</v>
      </c>
      <c r="K5" s="6" t="s">
        <v>1</v>
      </c>
    </row>
    <row r="6" spans="1:13" x14ac:dyDescent="0.2">
      <c r="A6" s="3" t="s">
        <v>9</v>
      </c>
      <c r="B6" s="3" t="s">
        <v>18</v>
      </c>
      <c r="C6" s="11">
        <f>VLOOKUP(B6,'input data'!$A$1:$C$108,2,FALSE)</f>
        <v>0.4</v>
      </c>
      <c r="D6" s="11">
        <f>VLOOKUP(B6,'input data'!$A$1:$C$108,3,FALSE)</f>
        <v>9.7100000000000009</v>
      </c>
      <c r="G6" s="3" t="s">
        <v>7</v>
      </c>
      <c r="H6" s="11">
        <f>MAX(C2:C4)</f>
        <v>7.3</v>
      </c>
      <c r="I6" s="7" t="str">
        <f>INDEX(B2:B4,MATCH(H6,C2:C4,0))</f>
        <v>TREMAPPLRPD017</v>
      </c>
      <c r="J6" s="11">
        <f>MAX(D2:D4)</f>
        <v>35.14</v>
      </c>
      <c r="K6" s="7" t="str">
        <f>INDEX(B2:B4,MATCH(J6,D2:D4,0))</f>
        <v>TREMAPPLRPD017</v>
      </c>
      <c r="M6" s="12"/>
    </row>
    <row r="7" spans="1:13" x14ac:dyDescent="0.2">
      <c r="A7" s="3" t="s">
        <v>33</v>
      </c>
      <c r="B7" s="3" t="s">
        <v>19</v>
      </c>
      <c r="C7" s="11">
        <f>VLOOKUP(B7,'input data'!$A$1:$C$108,2,FALSE)</f>
        <v>3.1</v>
      </c>
      <c r="D7" s="11">
        <f>VLOOKUP(B7,'input data'!$A$1:$C$108,3,FALSE)</f>
        <v>42.43</v>
      </c>
      <c r="G7" s="3" t="s">
        <v>8</v>
      </c>
      <c r="H7" s="11">
        <f>MAX(C5)</f>
        <v>2.91</v>
      </c>
      <c r="I7" s="7" t="str">
        <f>INDEX(B5,MATCH(H7,C5,0))</f>
        <v>TREMAPPLOCH020</v>
      </c>
      <c r="J7" s="11">
        <f>MAX(D5)</f>
        <v>10.029999999999999</v>
      </c>
      <c r="K7" s="7" t="str">
        <f>INDEX(B5,MATCH(J7,D5,0))</f>
        <v>TREMAPPLOCH020</v>
      </c>
      <c r="M7" s="12"/>
    </row>
    <row r="8" spans="1:13" x14ac:dyDescent="0.2">
      <c r="A8" s="3" t="s">
        <v>33</v>
      </c>
      <c r="B8" s="3" t="s">
        <v>20</v>
      </c>
      <c r="C8" s="11">
        <f>VLOOKUP(B8,'input data'!$A$1:$C$108,2,FALSE)</f>
        <v>2.65</v>
      </c>
      <c r="D8" s="11">
        <f>VLOOKUP(B8,'input data'!$A$1:$C$108,3,FALSE)</f>
        <v>37.700000000000003</v>
      </c>
      <c r="G8" s="3" t="s">
        <v>9</v>
      </c>
      <c r="H8" s="11">
        <f>MAX(C6)</f>
        <v>0.4</v>
      </c>
      <c r="I8" s="7" t="str">
        <f>INDEX(B6,MATCH(H8,C6,0))</f>
        <v>TREMAPPLICH021</v>
      </c>
      <c r="J8" s="11">
        <f>MAX(D6)</f>
        <v>9.7100000000000009</v>
      </c>
      <c r="K8" s="7" t="str">
        <f>INDEX(B6,MATCH(J8,D6,0))</f>
        <v>TREMAPPLICH021</v>
      </c>
      <c r="M8" s="12"/>
    </row>
    <row r="9" spans="1:13" x14ac:dyDescent="0.2">
      <c r="A9" s="3" t="s">
        <v>11</v>
      </c>
      <c r="B9" s="3" t="s">
        <v>21</v>
      </c>
      <c r="C9" s="11">
        <f>VLOOKUP(B9,'input data'!$A$1:$C$108,2,FALSE)</f>
        <v>10.14</v>
      </c>
      <c r="D9" s="11">
        <f>VLOOKUP(B9,'input data'!$A$1:$C$108,3,FALSE)</f>
        <v>15.25</v>
      </c>
      <c r="G9" s="3" t="s">
        <v>10</v>
      </c>
      <c r="H9" s="11">
        <f>MAX(C14:C16)</f>
        <v>1.79</v>
      </c>
      <c r="I9" s="7" t="str">
        <f>INDEX(B14:B16,MATCH(H9,C14:C16,0))</f>
        <v>TREMAPPLELC035</v>
      </c>
      <c r="J9" s="11">
        <f>MAX(D14:D16)</f>
        <v>54.48</v>
      </c>
      <c r="K9" s="7" t="str">
        <f>INDEX(B14:B16,MATCH(J9,D14:D16,0))</f>
        <v>TREMAPPLELC035</v>
      </c>
      <c r="M9" s="12"/>
    </row>
    <row r="10" spans="1:13" x14ac:dyDescent="0.2">
      <c r="A10" s="3" t="s">
        <v>11</v>
      </c>
      <c r="B10" s="3" t="s">
        <v>22</v>
      </c>
      <c r="C10" s="11">
        <f>VLOOKUP(B10,'input data'!$A$1:$C$108,2,FALSE)</f>
        <v>4.2699999999999996</v>
      </c>
      <c r="D10" s="11">
        <f>VLOOKUP(B10,'input data'!$A$1:$C$108,3,FALSE)</f>
        <v>35.86</v>
      </c>
      <c r="G10" s="3" t="s">
        <v>11</v>
      </c>
      <c r="H10" s="11">
        <f>MAX(C9:C10)</f>
        <v>10.14</v>
      </c>
      <c r="I10" s="7" t="str">
        <f>INDEX(B9:B10,MATCH(H10,C9:C10,0))</f>
        <v>TREMAPPLEDB027</v>
      </c>
      <c r="J10" s="11">
        <f>MAX(D9:D10)</f>
        <v>35.86</v>
      </c>
      <c r="K10" s="7" t="str">
        <f>INDEX(B9:B10,MATCH(J10,D9:D10,0))</f>
        <v>TREMAPPLEDB028</v>
      </c>
      <c r="M10" s="12"/>
    </row>
    <row r="11" spans="1:13" x14ac:dyDescent="0.2">
      <c r="A11" s="3" t="s">
        <v>12</v>
      </c>
      <c r="B11" s="3" t="s">
        <v>23</v>
      </c>
      <c r="C11" s="11">
        <f>VLOOKUP(B11,'input data'!$A$1:$C$108,2,FALSE)</f>
        <v>25.79</v>
      </c>
      <c r="D11" s="11">
        <f>VLOOKUP(B11,'input data'!$A$1:$C$108,3,FALSE)</f>
        <v>50.79</v>
      </c>
      <c r="G11" s="3" t="s">
        <v>12</v>
      </c>
      <c r="H11" s="11">
        <f>MAX(C11:C13)</f>
        <v>25.79</v>
      </c>
      <c r="I11" s="7" t="str">
        <f>INDEX(B11:B13,MATCH(H11,C11:C13,0))</f>
        <v>TREMAPPLRDS029</v>
      </c>
      <c r="J11" s="11">
        <f>MAX(D11:D13)</f>
        <v>50.79</v>
      </c>
      <c r="K11" s="7" t="str">
        <f>INDEX(B11:B13,MATCH(J11,D11:D13,0))</f>
        <v>TREMAPPLRDS029</v>
      </c>
      <c r="M11" s="12"/>
    </row>
    <row r="12" spans="1:13" x14ac:dyDescent="0.2">
      <c r="A12" s="3" t="s">
        <v>12</v>
      </c>
      <c r="B12" s="3" t="s">
        <v>24</v>
      </c>
      <c r="C12" s="11">
        <f>VLOOKUP(B12,'input data'!$A$1:$C$108,2,FALSE)</f>
        <v>3.6</v>
      </c>
      <c r="D12" s="11">
        <f>VLOOKUP(B12,'input data'!$A$1:$C$108,3,FALSE)</f>
        <v>19.329999999999998</v>
      </c>
      <c r="G12" s="3" t="s">
        <v>36</v>
      </c>
      <c r="H12" s="11">
        <f>MAX(C17:C17)</f>
        <v>20.56</v>
      </c>
      <c r="I12" s="7" t="str">
        <f>INDEX(B17:B17,MATCH(H12,C17:C17,0))</f>
        <v>growin-authservice-pt</v>
      </c>
      <c r="J12" s="11">
        <f>MAX(D17:D17)</f>
        <v>14.99</v>
      </c>
      <c r="K12" s="7" t="str">
        <f>INDEX(B17:B17,MATCH(J12,D17:D17,0))</f>
        <v>growin-authservice-pt</v>
      </c>
      <c r="M12" s="12"/>
    </row>
    <row r="13" spans="1:13" x14ac:dyDescent="0.2">
      <c r="A13" s="3" t="s">
        <v>12</v>
      </c>
      <c r="B13" s="3" t="s">
        <v>25</v>
      </c>
      <c r="C13" s="11">
        <f>VLOOKUP(B13,'input data'!$A$1:$C$108,2,FALSE)</f>
        <v>2.97</v>
      </c>
      <c r="D13" s="11">
        <f>VLOOKUP(B13,'input data'!$A$1:$C$108,3,FALSE)</f>
        <v>20.58</v>
      </c>
      <c r="G13" s="8" t="s">
        <v>13</v>
      </c>
      <c r="H13" s="17" t="str">
        <f>_xlfn.CONCAT(H2," - ",I2," ",J2,"%")</f>
        <v>Redis Node  - TREMAPPLRDS029 25.79%</v>
      </c>
      <c r="I13" s="18"/>
      <c r="J13" s="17" t="str">
        <f>_xlfn.CONCAT(H3," - ",I3," ",J3,"%")</f>
        <v>Elasticsearch Node  - TREMAPPLELC035 54.48%</v>
      </c>
      <c r="K13" s="18"/>
      <c r="M13" s="12"/>
    </row>
    <row r="14" spans="1:13" x14ac:dyDescent="0.2">
      <c r="A14" s="3" t="s">
        <v>10</v>
      </c>
      <c r="B14" s="3" t="s">
        <v>27</v>
      </c>
      <c r="C14" s="11">
        <f>VLOOKUP(B14,'input data'!$A$1:$C$108,2,FALSE)</f>
        <v>1.68</v>
      </c>
      <c r="D14" s="11">
        <f>VLOOKUP(B14,'input data'!$A$1:$C$108,3,FALSE)</f>
        <v>53.23</v>
      </c>
      <c r="M14" s="12"/>
    </row>
    <row r="15" spans="1:13" x14ac:dyDescent="0.2">
      <c r="A15" s="3" t="s">
        <v>10</v>
      </c>
      <c r="B15" s="3" t="s">
        <v>28</v>
      </c>
      <c r="C15" s="11">
        <f>VLOOKUP(B15,'input data'!$A$1:$C$108,2,FALSE)</f>
        <v>1.79</v>
      </c>
      <c r="D15" s="11">
        <f>VLOOKUP(B15,'input data'!$A$1:$C$108,3,FALSE)</f>
        <v>54.48</v>
      </c>
      <c r="M15" s="12"/>
    </row>
    <row r="16" spans="1:13" x14ac:dyDescent="0.2">
      <c r="A16" s="3" t="s">
        <v>10</v>
      </c>
      <c r="B16" s="3" t="s">
        <v>29</v>
      </c>
      <c r="C16" s="11">
        <f>VLOOKUP(B16,'input data'!$A$1:$C$108,2,FALSE)</f>
        <v>1.66</v>
      </c>
      <c r="D16" s="11">
        <f>VLOOKUP(B16,'input data'!$A$1:$C$108,3,FALSE)</f>
        <v>52.58</v>
      </c>
      <c r="M16" s="12"/>
    </row>
    <row r="17" spans="1:13" x14ac:dyDescent="0.2">
      <c r="A17" s="3" t="s">
        <v>36</v>
      </c>
      <c r="B17" s="3" t="s">
        <v>35</v>
      </c>
      <c r="C17" s="11">
        <f>VLOOKUP(B17,'input data'!$A$1:$C$108,2,FALSE)</f>
        <v>20.56</v>
      </c>
      <c r="D17" s="11">
        <f>VLOOKUP(B17,'input data'!$A$1:$C$108,3,FALSE)</f>
        <v>14.99</v>
      </c>
      <c r="M17" s="12"/>
    </row>
    <row r="18" spans="1:13" x14ac:dyDescent="0.2">
      <c r="C18" s="13"/>
      <c r="D18" s="13"/>
    </row>
    <row r="19" spans="1:13" x14ac:dyDescent="0.2">
      <c r="C19" s="13"/>
      <c r="D19" s="13"/>
    </row>
    <row r="20" spans="1:13" x14ac:dyDescent="0.2">
      <c r="C20" s="13"/>
      <c r="D20" s="13"/>
    </row>
    <row r="21" spans="1:13" x14ac:dyDescent="0.2">
      <c r="C21" s="13"/>
      <c r="D21" s="13"/>
    </row>
    <row r="22" spans="1:13" x14ac:dyDescent="0.2">
      <c r="C22" s="13"/>
      <c r="D22" s="13"/>
    </row>
    <row r="23" spans="1:13" x14ac:dyDescent="0.2">
      <c r="C23" s="13"/>
      <c r="D23" s="13"/>
    </row>
    <row r="24" spans="1:13" x14ac:dyDescent="0.2">
      <c r="C24" s="13"/>
      <c r="D24" s="13"/>
    </row>
    <row r="25" spans="1:13" x14ac:dyDescent="0.2">
      <c r="C25" s="13"/>
      <c r="D25" s="13"/>
    </row>
    <row r="35" spans="13:14" x14ac:dyDescent="0.2">
      <c r="M35" s="9"/>
      <c r="N35" s="9"/>
    </row>
    <row r="36" spans="13:14" x14ac:dyDescent="0.2">
      <c r="M36" s="9"/>
      <c r="N36" s="9"/>
    </row>
    <row r="37" spans="13:14" x14ac:dyDescent="0.2">
      <c r="M37" s="9"/>
      <c r="N37" s="9"/>
    </row>
    <row r="38" spans="13:14" x14ac:dyDescent="0.2">
      <c r="M38" s="9"/>
      <c r="N38" s="9"/>
    </row>
    <row r="39" spans="13:14" x14ac:dyDescent="0.2">
      <c r="M39" s="9"/>
      <c r="N39" s="9"/>
    </row>
    <row r="40" spans="13:14" x14ac:dyDescent="0.2">
      <c r="M40" s="9"/>
      <c r="N40" s="9"/>
    </row>
    <row r="41" spans="13:14" x14ac:dyDescent="0.2">
      <c r="M41" s="9"/>
      <c r="N41" s="9"/>
    </row>
    <row r="42" spans="13:14" x14ac:dyDescent="0.2">
      <c r="M42" s="9"/>
      <c r="N42" s="9"/>
    </row>
    <row r="43" spans="13:14" x14ac:dyDescent="0.2">
      <c r="M43" s="9"/>
      <c r="N43" s="9"/>
    </row>
    <row r="44" spans="13:14" x14ac:dyDescent="0.2">
      <c r="M44" s="9"/>
      <c r="N44" s="9"/>
    </row>
    <row r="45" spans="13:14" x14ac:dyDescent="0.2">
      <c r="M45" s="9"/>
      <c r="N45" s="9"/>
    </row>
  </sheetData>
  <autoFilter ref="A1:D25" xr:uid="{328ED4DC-DFE6-462F-892B-A871522B626B}"/>
  <mergeCells count="3">
    <mergeCell ref="G1:J1"/>
    <mergeCell ref="H13:I13"/>
    <mergeCell ref="J13:K13"/>
  </mergeCells>
  <conditionalFormatting sqref="C2:C17">
    <cfRule type="cellIs" dxfId="3" priority="2" operator="greaterThan">
      <formula>50</formula>
    </cfRule>
  </conditionalFormatting>
  <conditionalFormatting sqref="D2:D17">
    <cfRule type="cellIs" dxfId="2" priority="1" operator="greaterThan">
      <formula>60</formula>
    </cfRule>
  </conditionalFormatting>
  <conditionalFormatting sqref="J2">
    <cfRule type="cellIs" dxfId="1" priority="4" operator="greaterThan">
      <formula>50</formula>
    </cfRule>
  </conditionalFormatting>
  <conditionalFormatting sqref="J3">
    <cfRule type="cellIs" dxfId="0" priority="3" operator="greaterThan">
      <formula>60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0F81-7E7E-4947-B8DE-5D6CEB55C5F9}">
  <sheetPr codeName="Sheet2"/>
  <dimension ref="A1:C20"/>
  <sheetViews>
    <sheetView workbookViewId="0">
      <selection activeCell="C1" sqref="C1:C19"/>
    </sheetView>
  </sheetViews>
  <sheetFormatPr baseColWidth="10" defaultColWidth="8.83203125" defaultRowHeight="15" x14ac:dyDescent="0.2"/>
  <cols>
    <col min="1" max="1" width="26.6640625" customWidth="1"/>
  </cols>
  <sheetData>
    <row r="1" spans="1:3" x14ac:dyDescent="0.2">
      <c r="A1" t="s">
        <v>14</v>
      </c>
      <c r="B1" s="14">
        <v>7.3</v>
      </c>
      <c r="C1" s="14">
        <v>35.14</v>
      </c>
    </row>
    <row r="2" spans="1:3" x14ac:dyDescent="0.2">
      <c r="A2" t="s">
        <v>15</v>
      </c>
      <c r="B2">
        <v>6.15</v>
      </c>
      <c r="C2">
        <v>35.06</v>
      </c>
    </row>
    <row r="3" spans="1:3" x14ac:dyDescent="0.2">
      <c r="A3" t="s">
        <v>16</v>
      </c>
      <c r="B3" s="14">
        <v>7.03</v>
      </c>
      <c r="C3" s="14">
        <v>34.9</v>
      </c>
    </row>
    <row r="4" spans="1:3" x14ac:dyDescent="0.2">
      <c r="A4" t="s">
        <v>17</v>
      </c>
      <c r="B4">
        <v>2.91</v>
      </c>
      <c r="C4">
        <v>10.029999999999999</v>
      </c>
    </row>
    <row r="5" spans="1:3" x14ac:dyDescent="0.2">
      <c r="A5" t="s">
        <v>18</v>
      </c>
      <c r="B5" s="14">
        <v>0.4</v>
      </c>
      <c r="C5" s="14">
        <v>9.7100000000000009</v>
      </c>
    </row>
    <row r="6" spans="1:3" x14ac:dyDescent="0.2">
      <c r="A6" t="s">
        <v>19</v>
      </c>
      <c r="B6">
        <v>3.1</v>
      </c>
      <c r="C6">
        <v>42.43</v>
      </c>
    </row>
    <row r="7" spans="1:3" x14ac:dyDescent="0.2">
      <c r="A7" t="s">
        <v>20</v>
      </c>
      <c r="B7" s="14">
        <v>2.65</v>
      </c>
      <c r="C7" s="14">
        <v>37.700000000000003</v>
      </c>
    </row>
    <row r="8" spans="1:3" x14ac:dyDescent="0.2">
      <c r="A8" t="s">
        <v>21</v>
      </c>
      <c r="B8">
        <v>10.14</v>
      </c>
      <c r="C8">
        <v>15.25</v>
      </c>
    </row>
    <row r="9" spans="1:3" x14ac:dyDescent="0.2">
      <c r="A9" t="s">
        <v>22</v>
      </c>
      <c r="B9" s="14">
        <v>4.2699999999999996</v>
      </c>
      <c r="C9" s="14">
        <v>35.86</v>
      </c>
    </row>
    <row r="10" spans="1:3" x14ac:dyDescent="0.2">
      <c r="A10" t="s">
        <v>23</v>
      </c>
      <c r="B10">
        <v>25.79</v>
      </c>
      <c r="C10">
        <v>50.79</v>
      </c>
    </row>
    <row r="11" spans="1:3" x14ac:dyDescent="0.2">
      <c r="A11" t="s">
        <v>24</v>
      </c>
      <c r="B11" s="14">
        <v>3.6</v>
      </c>
      <c r="C11" s="14">
        <v>19.329999999999998</v>
      </c>
    </row>
    <row r="12" spans="1:3" x14ac:dyDescent="0.2">
      <c r="A12" t="s">
        <v>25</v>
      </c>
      <c r="B12">
        <v>2.97</v>
      </c>
      <c r="C12">
        <v>20.58</v>
      </c>
    </row>
    <row r="13" spans="1:3" x14ac:dyDescent="0.2">
      <c r="A13" t="s">
        <v>26</v>
      </c>
      <c r="B13" s="14">
        <v>54.31</v>
      </c>
      <c r="C13" s="14">
        <v>65.64</v>
      </c>
    </row>
    <row r="14" spans="1:3" x14ac:dyDescent="0.2">
      <c r="A14" t="s">
        <v>27</v>
      </c>
      <c r="B14">
        <v>1.68</v>
      </c>
      <c r="C14">
        <v>53.23</v>
      </c>
    </row>
    <row r="15" spans="1:3" x14ac:dyDescent="0.2">
      <c r="A15" t="s">
        <v>28</v>
      </c>
      <c r="B15" s="14">
        <v>1.79</v>
      </c>
      <c r="C15" s="14">
        <v>54.48</v>
      </c>
    </row>
    <row r="16" spans="1:3" x14ac:dyDescent="0.2">
      <c r="A16" t="s">
        <v>29</v>
      </c>
      <c r="B16">
        <v>1.66</v>
      </c>
      <c r="C16">
        <v>52.58</v>
      </c>
    </row>
    <row r="17" spans="1:3" x14ac:dyDescent="0.2">
      <c r="A17" t="s">
        <v>30</v>
      </c>
      <c r="B17" s="14">
        <v>0.3</v>
      </c>
      <c r="C17" s="14">
        <v>1.66</v>
      </c>
    </row>
    <row r="18" spans="1:3" x14ac:dyDescent="0.2">
      <c r="A18" t="s">
        <v>31</v>
      </c>
      <c r="B18">
        <v>3.43</v>
      </c>
      <c r="C18">
        <v>2.79</v>
      </c>
    </row>
    <row r="19" spans="1:3" x14ac:dyDescent="0.2">
      <c r="A19" t="s">
        <v>32</v>
      </c>
      <c r="B19" s="15">
        <v>7.15</v>
      </c>
      <c r="C19" s="15">
        <v>64.02</v>
      </c>
    </row>
    <row r="20" spans="1:3" x14ac:dyDescent="0.2">
      <c r="A20" t="s">
        <v>35</v>
      </c>
      <c r="B20">
        <v>20.56</v>
      </c>
      <c r="C20">
        <v>14.99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0a32c8-d2b3-4379-8db0-f8eec413f42b" xsi:nil="true"/>
    <_ip_UnifiedCompliancePolicyUIAction xmlns="http://schemas.microsoft.com/sharepoint/v3" xsi:nil="true"/>
    <lcf76f155ced4ddcb4097134ff3c332f xmlns="1ffbc247-74fd-4db2-b70b-3ba18a68af73">
      <Terms xmlns="http://schemas.microsoft.com/office/infopath/2007/PartnerControls"/>
    </lcf76f155ced4ddcb4097134ff3c332f>
    <_ip_UnifiedCompliancePolicyProperties xmlns="http://schemas.microsoft.com/sharepoint/v3" xsi:nil="true"/>
    <_Flow_SignoffStatus xmlns="1ffbc247-74fd-4db2-b70b-3ba18a68af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262E2094C2424FBDC1D076FFC12C69" ma:contentTypeVersion="20" ma:contentTypeDescription="Create a new document." ma:contentTypeScope="" ma:versionID="52d5ad7599cae5b1389ef81fad628b7d">
  <xsd:schema xmlns:xsd="http://www.w3.org/2001/XMLSchema" xmlns:xs="http://www.w3.org/2001/XMLSchema" xmlns:p="http://schemas.microsoft.com/office/2006/metadata/properties" xmlns:ns1="http://schemas.microsoft.com/sharepoint/v3" xmlns:ns2="1ffbc247-74fd-4db2-b70b-3ba18a68af73" xmlns:ns3="5b0a32c8-d2b3-4379-8db0-f8eec413f42b" targetNamespace="http://schemas.microsoft.com/office/2006/metadata/properties" ma:root="true" ma:fieldsID="db7fbdd2581498b9b02f077e58b1ada8" ns1:_="" ns2:_="" ns3:_="">
    <xsd:import namespace="http://schemas.microsoft.com/sharepoint/v3"/>
    <xsd:import namespace="1ffbc247-74fd-4db2-b70b-3ba18a68af73"/>
    <xsd:import namespace="5b0a32c8-d2b3-4379-8db0-f8eec413f4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c247-74fd-4db2-b70b-3ba18a68af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58eb475-cb46-4d43-a16a-d5e016f0ca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a32c8-d2b3-4379-8db0-f8eec413f42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adc4547-ac28-4b20-be01-49e4d769a588}" ma:internalName="TaxCatchAll" ma:showField="CatchAllData" ma:web="5b0a32c8-d2b3-4379-8db0-f8eec413f4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A6C8BC-31DB-4FE3-BA08-44217B58E58F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sharepoint/v3"/>
    <ds:schemaRef ds:uri="http://purl.org/dc/terms/"/>
    <ds:schemaRef ds:uri="http://schemas.microsoft.com/office/infopath/2007/PartnerControls"/>
    <ds:schemaRef ds:uri="5b0a32c8-d2b3-4379-8db0-f8eec413f42b"/>
    <ds:schemaRef ds:uri="1ffbc247-74fd-4db2-b70b-3ba18a68af73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CA48761-4C8C-4AA8-B8DA-3C4437E06F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3842D4-59A3-4D88-9F78-FAB296A682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ffbc247-74fd-4db2-b70b-3ba18a68af73"/>
    <ds:schemaRef ds:uri="5b0a32c8-d2b3-4379-8db0-f8eec413f4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input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Hasna Khairunnisa</dc:creator>
  <cp:keywords/>
  <dc:description/>
  <cp:lastModifiedBy>Andhy Baskoro</cp:lastModifiedBy>
  <cp:revision/>
  <dcterms:created xsi:type="dcterms:W3CDTF">2024-08-05T07:02:06Z</dcterms:created>
  <dcterms:modified xsi:type="dcterms:W3CDTF">2026-02-04T06:53:14Z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0x0101009D262E2094C2424FBDC1D076FFC12C69</vt:lpwstr>
  </property>
  <property fmtid="{D5CDD505-2E9C-101B-9397-08002B2CF9AE}" pid="3" name="MSIP_Label_60b0ad77-441a-4f25-85b5-54a2c279b311_Enabled">
    <vt:lpwstr>true</vt:lpwstr>
  </property>
  <property fmtid="{D5CDD505-2E9C-101B-9397-08002B2CF9AE}" pid="4" name="MSIP_Label_60b0ad77-441a-4f25-85b5-54a2c279b311_SetDate">
    <vt:lpwstr>2024-08-08T11:27:08Z</vt:lpwstr>
  </property>
  <property fmtid="{D5CDD505-2E9C-101B-9397-08002B2CF9AE}" pid="5" name="MSIP_Label_60b0ad77-441a-4f25-85b5-54a2c279b311_Method">
    <vt:lpwstr>Privileged</vt:lpwstr>
  </property>
  <property fmtid="{D5CDD505-2E9C-101B-9397-08002B2CF9AE}" pid="6" name="MSIP_Label_60b0ad77-441a-4f25-85b5-54a2c279b311_Name">
    <vt:lpwstr>General - No Protection</vt:lpwstr>
  </property>
  <property fmtid="{D5CDD505-2E9C-101B-9397-08002B2CF9AE}" pid="7" name="MSIP_Label_60b0ad77-441a-4f25-85b5-54a2c279b311_SiteId">
    <vt:lpwstr>4bdbbe7d-63df-4e5c-953e-9286316895e6</vt:lpwstr>
  </property>
  <property fmtid="{D5CDD505-2E9C-101B-9397-08002B2CF9AE}" pid="8" name="MSIP_Label_60b0ad77-441a-4f25-85b5-54a2c279b311_ActionId">
    <vt:lpwstr>ec5bd947-b883-4621-8eab-783b696e619d</vt:lpwstr>
  </property>
  <property fmtid="{D5CDD505-2E9C-101B-9397-08002B2CF9AE}" pid="9" name="MSIP_Label_60b0ad77-441a-4f25-85b5-54a2c279b311_ContentBits">
    <vt:lpwstr>0</vt:lpwstr>
  </property>
</Properties>
</file>